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 Parcei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<sst xmlns="http://schemas.openxmlformats.org/spreadsheetml/2006/main" count="136" uniqueCount="51">
  <si>
    <t xml:space="preserve">RELATÓRIO DE COBRANÇA — PARCEIRO (ESBOÇO/TESTE)</t>
  </si>
  <si>
    <t xml:space="preserve">Parceiro: Leonardo Dry Clean   |   Período de referência: 02/06/2026 a 22/06/2026   |   Documento gerado: 24/06/2026</t>
  </si>
  <si>
    <t xml:space="preserve">Datas abaixo são apenas referência informativa (data da medição/entrega); não representam filtro de cobrança.</t>
  </si>
  <si>
    <t xml:space="preserve">Data ref.</t>
  </si>
  <si>
    <t xml:space="preserve">Categoria</t>
  </si>
  <si>
    <t xml:space="preserve">Tipo medida</t>
  </si>
  <si>
    <t xml:space="preserve">Cor</t>
  </si>
  <si>
    <t xml:space="preserve">Etiqueta</t>
  </si>
  <si>
    <t xml:space="preserve">Largura (m)/Diâm.</t>
  </si>
  <si>
    <t xml:space="preserve">Comprimento (m)</t>
  </si>
  <si>
    <t xml:space="preserve">Área (m²)</t>
  </si>
  <si>
    <t xml:space="preserve">Preço (R$/m²)</t>
  </si>
  <si>
    <t xml:space="preserve">Valor (R$)</t>
  </si>
  <si>
    <t xml:space="preserve">08/06/2026</t>
  </si>
  <si>
    <t xml:space="preserve">CORTINA</t>
  </si>
  <si>
    <t xml:space="preserve">RETANGULAR</t>
  </si>
  <si>
    <t xml:space="preserve">(sem nome)</t>
  </si>
  <si>
    <t xml:space="preserve">—</t>
  </si>
  <si>
    <t xml:space="preserve">12/06/2026</t>
  </si>
  <si>
    <t xml:space="preserve">TAPETE</t>
  </si>
  <si>
    <t xml:space="preserve">Roxo</t>
  </si>
  <si>
    <t xml:space="preserve">367</t>
  </si>
  <si>
    <t xml:space="preserve">REDONDO</t>
  </si>
  <si>
    <t xml:space="preserve">Verde</t>
  </si>
  <si>
    <t xml:space="preserve">147</t>
  </si>
  <si>
    <t xml:space="preserve">18/06/2026</t>
  </si>
  <si>
    <t xml:space="preserve">Cinza</t>
  </si>
  <si>
    <t xml:space="preserve">374</t>
  </si>
  <si>
    <t xml:space="preserve">349</t>
  </si>
  <si>
    <t xml:space="preserve">312</t>
  </si>
  <si>
    <t xml:space="preserve">Rosa</t>
  </si>
  <si>
    <t xml:space="preserve">198</t>
  </si>
  <si>
    <t xml:space="preserve">Azul</t>
  </si>
  <si>
    <t xml:space="preserve">149</t>
  </si>
  <si>
    <t xml:space="preserve">22/06/2026</t>
  </si>
  <si>
    <t xml:space="preserve">366</t>
  </si>
  <si>
    <t xml:space="preserve">320</t>
  </si>
  <si>
    <t xml:space="preserve">511</t>
  </si>
  <si>
    <t xml:space="preserve">214</t>
  </si>
  <si>
    <t xml:space="preserve">558</t>
  </si>
  <si>
    <t xml:space="preserve">041</t>
  </si>
  <si>
    <t xml:space="preserve">373</t>
  </si>
  <si>
    <t xml:space="preserve">199</t>
  </si>
  <si>
    <t xml:space="preserve">RESUMO</t>
  </si>
  <si>
    <t xml:space="preserve">Qtde itens TAPETE</t>
  </si>
  <si>
    <t xml:space="preserve">Subtotal TAPETE (R$)</t>
  </si>
  <si>
    <t xml:space="preserve">Qtde itens CORTINA</t>
  </si>
  <si>
    <t xml:space="preserve">Subtotal CORTINA (R$)</t>
  </si>
  <si>
    <t xml:space="preserve">Total de itens</t>
  </si>
  <si>
    <t xml:space="preserve">VALOR TOTAL A COBRAR (R$)</t>
  </si>
  <si>
    <t xml:space="preserve">Observação: itens já cobrados na planilha de referência de maio/2026 foram excluídos como duplicatas. Excluído também 1 item sem identificação confiável de parceiro e descartada 1 medição considerada erro de medição (mesma etiqueta, valor menor).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</si>
</sst>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&quot;R$ &quot;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8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8CC63F"/>
        <bgColor rgb="FF969696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CC63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5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6" t="n">
        <v>2.8</v>
      </c>
      <c r="G6" s="6" t="n">
        <v>2.5</v>
      </c>
      <c r="H6" s="6" t="n">
        <f aca="false">IF(C6="REDONDO",PI()*(F6/2)^2,F6*G6)</f>
        <v>7</v>
      </c>
      <c r="I6" s="7" t="n">
        <v>20</v>
      </c>
      <c r="J6" s="7" t="n">
        <f aca="false">H6*I6</f>
        <v>140</v>
      </c>
    </row>
    <row r="7" customFormat="false" ht="15" hidden="false" customHeight="false" outlineLevel="0" collapsed="false">
      <c r="A7" s="8" t="s">
        <v>13</v>
      </c>
      <c r="B7" s="8" t="s">
        <v>14</v>
      </c>
      <c r="C7" s="8" t="s">
        <v>15</v>
      </c>
      <c r="D7" s="8" t="s">
        <v>16</v>
      </c>
      <c r="E7" s="8" t="s">
        <v>17</v>
      </c>
      <c r="F7" s="9" t="n">
        <v>2.8</v>
      </c>
      <c r="G7" s="9" t="n">
        <v>2.75</v>
      </c>
      <c r="H7" s="9" t="n">
        <f aca="false">IF(C7="REDONDO",PI()*(F7/2)^2,F7*G7)</f>
        <v>7.7</v>
      </c>
      <c r="I7" s="10" t="n">
        <v>20</v>
      </c>
      <c r="J7" s="10" t="n">
        <f aca="false">H7*I7</f>
        <v>154</v>
      </c>
    </row>
    <row r="8" customFormat="false" ht="15" hidden="false" customHeight="false" outlineLevel="0" collapsed="false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6" t="n">
        <v>2.8</v>
      </c>
      <c r="G8" s="6" t="n">
        <v>2.1</v>
      </c>
      <c r="H8" s="6" t="n">
        <f aca="false">IF(C8="REDONDO",PI()*(F8/2)^2,F8*G8)</f>
        <v>5.88</v>
      </c>
      <c r="I8" s="7" t="n">
        <v>20</v>
      </c>
      <c r="J8" s="7" t="n">
        <f aca="false">H8*I8</f>
        <v>117.6</v>
      </c>
    </row>
    <row r="9" customFormat="false" ht="15" hidden="false" customHeight="false" outlineLevel="0" collapsed="false">
      <c r="A9" s="8" t="s">
        <v>18</v>
      </c>
      <c r="B9" s="8" t="s">
        <v>19</v>
      </c>
      <c r="C9" s="8" t="s">
        <v>15</v>
      </c>
      <c r="D9" s="8" t="s">
        <v>20</v>
      </c>
      <c r="E9" s="8" t="s">
        <v>17</v>
      </c>
      <c r="F9" s="9" t="n">
        <v>2</v>
      </c>
      <c r="G9" s="9" t="n">
        <v>3</v>
      </c>
      <c r="H9" s="9" t="n">
        <f aca="false">IF(C9="REDONDO",PI()*(F9/2)^2,F9*G9)</f>
        <v>6</v>
      </c>
      <c r="I9" s="10" t="n">
        <v>20</v>
      </c>
      <c r="J9" s="10" t="n">
        <f aca="false">H9*I9</f>
        <v>120</v>
      </c>
    </row>
    <row r="10" customFormat="false" ht="15" hidden="false" customHeight="false" outlineLevel="0" collapsed="false">
      <c r="A10" s="5" t="s">
        <v>18</v>
      </c>
      <c r="B10" s="5" t="s">
        <v>19</v>
      </c>
      <c r="C10" s="5" t="s">
        <v>15</v>
      </c>
      <c r="D10" s="5" t="s">
        <v>20</v>
      </c>
      <c r="E10" s="5" t="s">
        <v>17</v>
      </c>
      <c r="F10" s="6" t="n">
        <v>2</v>
      </c>
      <c r="G10" s="6" t="n">
        <v>3</v>
      </c>
      <c r="H10" s="6" t="n">
        <f aca="false">IF(C10="REDONDO",PI()*(F10/2)^2,F10*G10)</f>
        <v>6</v>
      </c>
      <c r="I10" s="7" t="n">
        <v>20</v>
      </c>
      <c r="J10" s="7" t="n">
        <f aca="false">H10*I10</f>
        <v>120</v>
      </c>
    </row>
    <row r="11" customFormat="false" ht="15" hidden="false" customHeight="false" outlineLevel="0" collapsed="false">
      <c r="A11" s="8" t="s">
        <v>18</v>
      </c>
      <c r="B11" s="8" t="s">
        <v>19</v>
      </c>
      <c r="C11" s="8" t="s">
        <v>15</v>
      </c>
      <c r="D11" s="8" t="s">
        <v>20</v>
      </c>
      <c r="E11" s="8" t="s">
        <v>17</v>
      </c>
      <c r="F11" s="9" t="n">
        <v>2.9</v>
      </c>
      <c r="G11" s="9" t="n">
        <v>3.4</v>
      </c>
      <c r="H11" s="9" t="n">
        <f aca="false">IF(C11="REDONDO",PI()*(F11/2)^2,F11*G11)</f>
        <v>9.86</v>
      </c>
      <c r="I11" s="10" t="n">
        <v>20</v>
      </c>
      <c r="J11" s="10" t="n">
        <f aca="false">H11*I11</f>
        <v>197.2</v>
      </c>
    </row>
    <row r="12" customFormat="false" ht="15" hidden="false" customHeight="false" outlineLevel="0" collapsed="false">
      <c r="A12" s="5" t="s">
        <v>18</v>
      </c>
      <c r="B12" s="5" t="s">
        <v>19</v>
      </c>
      <c r="C12" s="5" t="s">
        <v>15</v>
      </c>
      <c r="D12" s="5" t="s">
        <v>20</v>
      </c>
      <c r="E12" s="5" t="s">
        <v>21</v>
      </c>
      <c r="F12" s="6" t="n">
        <v>2.5</v>
      </c>
      <c r="G12" s="6" t="n">
        <v>3</v>
      </c>
      <c r="H12" s="6" t="n">
        <f aca="false">IF(C12="REDONDO",PI()*(F12/2)^2,F12*G12)</f>
        <v>7.5</v>
      </c>
      <c r="I12" s="7" t="n">
        <v>20</v>
      </c>
      <c r="J12" s="7" t="n">
        <f aca="false">H12*I12</f>
        <v>150</v>
      </c>
    </row>
    <row r="13" customFormat="false" ht="15" hidden="false" customHeight="false" outlineLevel="0" collapsed="false">
      <c r="A13" s="8" t="s">
        <v>18</v>
      </c>
      <c r="B13" s="8" t="s">
        <v>19</v>
      </c>
      <c r="C13" s="8" t="s">
        <v>22</v>
      </c>
      <c r="D13" s="8" t="s">
        <v>23</v>
      </c>
      <c r="E13" s="8" t="s">
        <v>24</v>
      </c>
      <c r="F13" s="9" t="n">
        <v>2</v>
      </c>
      <c r="G13" s="9"/>
      <c r="H13" s="9" t="n">
        <f aca="false">IF(C13="REDONDO",PI()*(F13/2)^2,F13*G13)</f>
        <v>3.14159265358979</v>
      </c>
      <c r="I13" s="10" t="n">
        <v>20</v>
      </c>
      <c r="J13" s="10" t="n">
        <f aca="false">H13*I13</f>
        <v>62.8318530717959</v>
      </c>
    </row>
    <row r="14" customFormat="false" ht="15" hidden="false" customHeight="false" outlineLevel="0" collapsed="false">
      <c r="A14" s="5" t="s">
        <v>18</v>
      </c>
      <c r="B14" s="5" t="s">
        <v>19</v>
      </c>
      <c r="C14" s="5" t="s">
        <v>15</v>
      </c>
      <c r="D14" s="5" t="s">
        <v>20</v>
      </c>
      <c r="E14" s="5" t="s">
        <v>17</v>
      </c>
      <c r="F14" s="6" t="n">
        <v>2.5</v>
      </c>
      <c r="G14" s="6" t="n">
        <v>3.5</v>
      </c>
      <c r="H14" s="6" t="n">
        <f aca="false">IF(C14="REDONDO",PI()*(F14/2)^2,F14*G14)</f>
        <v>8.75</v>
      </c>
      <c r="I14" s="7" t="n">
        <v>20</v>
      </c>
      <c r="J14" s="7" t="n">
        <f aca="false">H14*I14</f>
        <v>175</v>
      </c>
    </row>
    <row r="15" customFormat="false" ht="15" hidden="false" customHeight="false" outlineLevel="0" collapsed="false">
      <c r="A15" s="8" t="s">
        <v>18</v>
      </c>
      <c r="B15" s="8" t="s">
        <v>19</v>
      </c>
      <c r="C15" s="8" t="s">
        <v>15</v>
      </c>
      <c r="D15" s="8" t="s">
        <v>16</v>
      </c>
      <c r="E15" s="8" t="s">
        <v>17</v>
      </c>
      <c r="F15" s="9" t="n">
        <v>2.5</v>
      </c>
      <c r="G15" s="9" t="n">
        <v>2</v>
      </c>
      <c r="H15" s="9" t="n">
        <f aca="false">IF(C15="REDONDO",PI()*(F15/2)^2,F15*G15)</f>
        <v>5</v>
      </c>
      <c r="I15" s="10" t="n">
        <v>20</v>
      </c>
      <c r="J15" s="10" t="n">
        <f aca="false">H15*I15</f>
        <v>100</v>
      </c>
    </row>
    <row r="16" customFormat="false" ht="15" hidden="false" customHeight="false" outlineLevel="0" collapsed="false">
      <c r="A16" s="5" t="s">
        <v>25</v>
      </c>
      <c r="B16" s="5" t="s">
        <v>19</v>
      </c>
      <c r="C16" s="5" t="s">
        <v>15</v>
      </c>
      <c r="D16" s="5" t="s">
        <v>26</v>
      </c>
      <c r="E16" s="5" t="s">
        <v>27</v>
      </c>
      <c r="F16" s="6" t="n">
        <v>0.7</v>
      </c>
      <c r="G16" s="6" t="n">
        <v>1.55</v>
      </c>
      <c r="H16" s="6" t="n">
        <f aca="false">IF(C16="REDONDO",PI()*(F16/2)^2,F16*G16)</f>
        <v>1.085</v>
      </c>
      <c r="I16" s="7" t="n">
        <v>20</v>
      </c>
      <c r="J16" s="7" t="n">
        <f aca="false">H16*I16</f>
        <v>21.7</v>
      </c>
    </row>
    <row r="17" customFormat="false" ht="15" hidden="false" customHeight="false" outlineLevel="0" collapsed="false">
      <c r="A17" s="8" t="s">
        <v>25</v>
      </c>
      <c r="B17" s="8" t="s">
        <v>19</v>
      </c>
      <c r="C17" s="8" t="s">
        <v>15</v>
      </c>
      <c r="D17" s="8" t="s">
        <v>26</v>
      </c>
      <c r="E17" s="8" t="s">
        <v>28</v>
      </c>
      <c r="F17" s="9" t="n">
        <v>1.1</v>
      </c>
      <c r="G17" s="9" t="n">
        <v>1.8</v>
      </c>
      <c r="H17" s="9" t="n">
        <f aca="false">IF(C17="REDONDO",PI()*(F17/2)^2,F17*G17)</f>
        <v>1.98</v>
      </c>
      <c r="I17" s="10" t="n">
        <v>20</v>
      </c>
      <c r="J17" s="10" t="n">
        <f aca="false">H17*I17</f>
        <v>39.6</v>
      </c>
    </row>
    <row r="18" customFormat="false" ht="15" hidden="false" customHeight="false" outlineLevel="0" collapsed="false">
      <c r="A18" s="5" t="s">
        <v>25</v>
      </c>
      <c r="B18" s="5" t="s">
        <v>19</v>
      </c>
      <c r="C18" s="5" t="s">
        <v>15</v>
      </c>
      <c r="D18" s="5" t="s">
        <v>26</v>
      </c>
      <c r="E18" s="5" t="s">
        <v>29</v>
      </c>
      <c r="F18" s="6" t="n">
        <v>1.2</v>
      </c>
      <c r="G18" s="6" t="n">
        <v>1.6</v>
      </c>
      <c r="H18" s="6" t="n">
        <f aca="false">IF(C18="REDONDO",PI()*(F18/2)^2,F18*G18)</f>
        <v>1.92</v>
      </c>
      <c r="I18" s="7" t="n">
        <v>20</v>
      </c>
      <c r="J18" s="7" t="n">
        <f aca="false">H18*I18</f>
        <v>38.4</v>
      </c>
    </row>
    <row r="19" customFormat="false" ht="15" hidden="false" customHeight="false" outlineLevel="0" collapsed="false">
      <c r="A19" s="8" t="s">
        <v>25</v>
      </c>
      <c r="B19" s="8" t="s">
        <v>19</v>
      </c>
      <c r="C19" s="8" t="s">
        <v>15</v>
      </c>
      <c r="D19" s="8" t="s">
        <v>30</v>
      </c>
      <c r="E19" s="8" t="s">
        <v>31</v>
      </c>
      <c r="F19" s="9" t="n">
        <v>1</v>
      </c>
      <c r="G19" s="9" t="n">
        <v>1.5</v>
      </c>
      <c r="H19" s="9" t="n">
        <f aca="false">IF(C19="REDONDO",PI()*(F19/2)^2,F19*G19)</f>
        <v>1.5</v>
      </c>
      <c r="I19" s="10" t="n">
        <v>20</v>
      </c>
      <c r="J19" s="10" t="n">
        <f aca="false">H19*I19</f>
        <v>30</v>
      </c>
    </row>
    <row r="20" customFormat="false" ht="15" hidden="false" customHeight="false" outlineLevel="0" collapsed="false">
      <c r="A20" s="5" t="s">
        <v>25</v>
      </c>
      <c r="B20" s="5" t="s">
        <v>19</v>
      </c>
      <c r="C20" s="5" t="s">
        <v>22</v>
      </c>
      <c r="D20" s="5" t="s">
        <v>32</v>
      </c>
      <c r="E20" s="5" t="s">
        <v>33</v>
      </c>
      <c r="F20" s="6" t="n">
        <v>1.4</v>
      </c>
      <c r="G20" s="6"/>
      <c r="H20" s="6" t="n">
        <f aca="false">IF(C20="REDONDO",PI()*(F20/2)^2,F20*G20)</f>
        <v>1.539380400259</v>
      </c>
      <c r="I20" s="7" t="n">
        <v>20</v>
      </c>
      <c r="J20" s="7" t="n">
        <f aca="false">H20*I20</f>
        <v>30.78760800518</v>
      </c>
    </row>
    <row r="21" customFormat="false" ht="15" hidden="false" customHeight="false" outlineLevel="0" collapsed="false">
      <c r="A21" s="8" t="s">
        <v>34</v>
      </c>
      <c r="B21" s="8" t="s">
        <v>19</v>
      </c>
      <c r="C21" s="8" t="s">
        <v>15</v>
      </c>
      <c r="D21" s="8" t="s">
        <v>20</v>
      </c>
      <c r="E21" s="8" t="s">
        <v>35</v>
      </c>
      <c r="F21" s="9" t="n">
        <v>2.5</v>
      </c>
      <c r="G21" s="9" t="n">
        <v>2.9</v>
      </c>
      <c r="H21" s="9" t="n">
        <f aca="false">IF(C21="REDONDO",PI()*(F21/2)^2,F21*G21)</f>
        <v>7.25</v>
      </c>
      <c r="I21" s="10" t="n">
        <v>20</v>
      </c>
      <c r="J21" s="10" t="n">
        <f aca="false">H21*I21</f>
        <v>145</v>
      </c>
    </row>
    <row r="22" customFormat="false" ht="15" hidden="false" customHeight="false" outlineLevel="0" collapsed="false">
      <c r="A22" s="5" t="s">
        <v>34</v>
      </c>
      <c r="B22" s="5" t="s">
        <v>19</v>
      </c>
      <c r="C22" s="5" t="s">
        <v>15</v>
      </c>
      <c r="D22" s="5" t="s">
        <v>23</v>
      </c>
      <c r="E22" s="5" t="s">
        <v>36</v>
      </c>
      <c r="F22" s="6" t="n">
        <v>1.9</v>
      </c>
      <c r="G22" s="6" t="n">
        <v>3</v>
      </c>
      <c r="H22" s="6" t="n">
        <f aca="false">IF(C22="REDONDO",PI()*(F22/2)^2,F22*G22)</f>
        <v>5.7</v>
      </c>
      <c r="I22" s="7" t="n">
        <v>20</v>
      </c>
      <c r="J22" s="7" t="n">
        <f aca="false">H22*I22</f>
        <v>114</v>
      </c>
    </row>
    <row r="23" customFormat="false" ht="15" hidden="false" customHeight="false" outlineLevel="0" collapsed="false">
      <c r="A23" s="8" t="s">
        <v>34</v>
      </c>
      <c r="B23" s="8" t="s">
        <v>19</v>
      </c>
      <c r="C23" s="8" t="s">
        <v>15</v>
      </c>
      <c r="D23" s="8" t="s">
        <v>26</v>
      </c>
      <c r="E23" s="8" t="s">
        <v>37</v>
      </c>
      <c r="F23" s="9" t="n">
        <v>1.2</v>
      </c>
      <c r="G23" s="9" t="n">
        <v>1.7</v>
      </c>
      <c r="H23" s="9" t="n">
        <f aca="false">IF(C23="REDONDO",PI()*(F23/2)^2,F23*G23)</f>
        <v>2.04</v>
      </c>
      <c r="I23" s="10" t="n">
        <v>20</v>
      </c>
      <c r="J23" s="10" t="n">
        <f aca="false">H23*I23</f>
        <v>40.8</v>
      </c>
    </row>
    <row r="24" customFormat="false" ht="15" hidden="false" customHeight="false" outlineLevel="0" collapsed="false">
      <c r="A24" s="5" t="s">
        <v>34</v>
      </c>
      <c r="B24" s="5" t="s">
        <v>19</v>
      </c>
      <c r="C24" s="5" t="s">
        <v>15</v>
      </c>
      <c r="D24" s="5" t="s">
        <v>30</v>
      </c>
      <c r="E24" s="5" t="s">
        <v>38</v>
      </c>
      <c r="F24" s="6" t="n">
        <v>2.4</v>
      </c>
      <c r="G24" s="6" t="n">
        <v>2.8</v>
      </c>
      <c r="H24" s="6" t="n">
        <f aca="false">IF(C24="REDONDO",PI()*(F24/2)^2,F24*G24)</f>
        <v>6.72</v>
      </c>
      <c r="I24" s="7" t="n">
        <v>20</v>
      </c>
      <c r="J24" s="7" t="n">
        <f aca="false">H24*I24</f>
        <v>134.4</v>
      </c>
    </row>
    <row r="25" customFormat="false" ht="15" hidden="false" customHeight="false" outlineLevel="0" collapsed="false">
      <c r="A25" s="8" t="s">
        <v>34</v>
      </c>
      <c r="B25" s="8" t="s">
        <v>19</v>
      </c>
      <c r="C25" s="8" t="s">
        <v>15</v>
      </c>
      <c r="D25" s="8" t="s">
        <v>26</v>
      </c>
      <c r="E25" s="8" t="s">
        <v>39</v>
      </c>
      <c r="F25" s="9" t="n">
        <v>2.7</v>
      </c>
      <c r="G25" s="9" t="n">
        <v>2.9</v>
      </c>
      <c r="H25" s="9" t="n">
        <f aca="false">IF(C25="REDONDO",PI()*(F25/2)^2,F25*G25)</f>
        <v>7.83</v>
      </c>
      <c r="I25" s="10" t="n">
        <v>20</v>
      </c>
      <c r="J25" s="10" t="n">
        <f aca="false">H25*I25</f>
        <v>156.6</v>
      </c>
    </row>
    <row r="26" customFormat="false" ht="15" hidden="false" customHeight="false" outlineLevel="0" collapsed="false">
      <c r="A26" s="5" t="s">
        <v>34</v>
      </c>
      <c r="B26" s="5" t="s">
        <v>19</v>
      </c>
      <c r="C26" s="5" t="s">
        <v>15</v>
      </c>
      <c r="D26" s="5" t="s">
        <v>32</v>
      </c>
      <c r="E26" s="5" t="s">
        <v>40</v>
      </c>
      <c r="F26" s="6" t="n">
        <v>0.9</v>
      </c>
      <c r="G26" s="6" t="n">
        <v>1.5</v>
      </c>
      <c r="H26" s="6" t="n">
        <f aca="false">IF(C26="REDONDO",PI()*(F26/2)^2,F26*G26)</f>
        <v>1.35</v>
      </c>
      <c r="I26" s="7" t="n">
        <v>20</v>
      </c>
      <c r="J26" s="7" t="n">
        <f aca="false">H26*I26</f>
        <v>27</v>
      </c>
    </row>
    <row r="27" customFormat="false" ht="15" hidden="false" customHeight="false" outlineLevel="0" collapsed="false">
      <c r="A27" s="8" t="s">
        <v>34</v>
      </c>
      <c r="B27" s="8" t="s">
        <v>19</v>
      </c>
      <c r="C27" s="8" t="s">
        <v>15</v>
      </c>
      <c r="D27" s="8" t="s">
        <v>26</v>
      </c>
      <c r="E27" s="8" t="s">
        <v>41</v>
      </c>
      <c r="F27" s="9" t="n">
        <v>0.7</v>
      </c>
      <c r="G27" s="9" t="n">
        <v>1.5</v>
      </c>
      <c r="H27" s="9" t="n">
        <f aca="false">IF(C27="REDONDO",PI()*(F27/2)^2,F27*G27)</f>
        <v>1.05</v>
      </c>
      <c r="I27" s="10" t="n">
        <v>20</v>
      </c>
      <c r="J27" s="10" t="n">
        <f aca="false">H27*I27</f>
        <v>21</v>
      </c>
    </row>
    <row r="28" customFormat="false" ht="15" hidden="false" customHeight="false" outlineLevel="0" collapsed="false">
      <c r="A28" s="5" t="s">
        <v>34</v>
      </c>
      <c r="B28" s="5" t="s">
        <v>19</v>
      </c>
      <c r="C28" s="5" t="s">
        <v>15</v>
      </c>
      <c r="D28" s="5" t="s">
        <v>30</v>
      </c>
      <c r="E28" s="5" t="s">
        <v>42</v>
      </c>
      <c r="F28" s="6" t="n">
        <v>0.6</v>
      </c>
      <c r="G28" s="6" t="n">
        <v>1</v>
      </c>
      <c r="H28" s="6" t="n">
        <f aca="false">IF(C28="REDONDO",PI()*(F28/2)^2,F28*G28)</f>
        <v>0.6</v>
      </c>
      <c r="I28" s="7" t="n">
        <v>20</v>
      </c>
      <c r="J28" s="7" t="n">
        <f aca="false">H28*I28</f>
        <v>12</v>
      </c>
    </row>
    <row r="30" customFormat="false" ht="15" hidden="false" customHeight="false" outlineLevel="0" collapsed="false">
      <c r="A30" s="11" t="s">
        <v>43</v>
      </c>
      <c r="B30" s="11"/>
      <c r="C30" s="11"/>
      <c r="D30" s="11"/>
      <c r="E30" s="11"/>
    </row>
    <row r="31" customFormat="false" ht="15" hidden="false" customHeight="false" outlineLevel="0" collapsed="false">
      <c r="A31" s="12" t="s">
        <v>44</v>
      </c>
      <c r="B31" s="12"/>
      <c r="C31" s="12"/>
      <c r="D31" s="13" t="n">
        <f aca="false">COUNTIF(B6:B28,"TAPETE")</f>
        <v>20</v>
      </c>
    </row>
    <row r="32" customFormat="false" ht="15" hidden="false" customHeight="false" outlineLevel="0" collapsed="false">
      <c r="A32" s="12" t="s">
        <v>45</v>
      </c>
      <c r="B32" s="12"/>
      <c r="C32" s="12"/>
      <c r="D32" s="14" t="n">
        <f aca="false">SUMIF(B6:B28,"TAPETE",J6:J28)</f>
        <v>1736.31946107698</v>
      </c>
    </row>
    <row r="33" customFormat="false" ht="15" hidden="false" customHeight="false" outlineLevel="0" collapsed="false">
      <c r="A33" s="12" t="s">
        <v>46</v>
      </c>
      <c r="B33" s="12"/>
      <c r="C33" s="12"/>
      <c r="D33" s="13" t="n">
        <f aca="false">COUNTIF(B6:B28,"CORTINA")</f>
        <v>3</v>
      </c>
    </row>
    <row r="34" customFormat="false" ht="15" hidden="false" customHeight="false" outlineLevel="0" collapsed="false">
      <c r="A34" s="12" t="s">
        <v>47</v>
      </c>
      <c r="B34" s="12"/>
      <c r="C34" s="12"/>
      <c r="D34" s="14" t="n">
        <f aca="false">SUMIF(B6:B28,"CORTINA",J6:J28)</f>
        <v>411.6</v>
      </c>
    </row>
    <row r="35" customFormat="false" ht="15" hidden="false" customHeight="false" outlineLevel="0" collapsed="false">
      <c r="A35" s="12" t="s">
        <v>48</v>
      </c>
      <c r="B35" s="12"/>
      <c r="C35" s="12"/>
      <c r="D35" s="13" t="n">
        <f aca="false">COUNTA(A6:A28)</f>
        <v>23</v>
      </c>
    </row>
    <row r="36" customFormat="false" ht="15" hidden="false" customHeight="false" outlineLevel="0" collapsed="false">
      <c r="A36" s="15" t="s">
        <v>49</v>
      </c>
      <c r="B36" s="15"/>
      <c r="C36" s="15"/>
      <c r="D36" s="16" t="n">
        <f aca="false">SUM(J6:J28)</f>
        <v>2147.91946107698</v>
      </c>
    </row>
    <row r="38" customFormat="false" ht="27.75" hidden="false" customHeight="true" outlineLevel="0" collapsed="false">
      <c r="A38" s="17" t="s">
        <v>50</v>
      </c>
      <c r="B38" s="17"/>
      <c r="C38" s="17"/>
      <c r="D38" s="17"/>
      <c r="E38" s="17"/>
      <c r="F38" s="17"/>
      <c r="G38" s="17"/>
      <c r="H38" s="17"/>
      <c r="I38" s="17"/>
      <c r="J38" s="17"/>
    </row>
  </sheetData>
  <mergeCells count="11">
    <mergeCell ref="A1:I1"/>
    <mergeCell ref="A2:I2"/>
    <mergeCell ref="A3:I3"/>
    <mergeCell ref="A30:E30"/>
    <mergeCell ref="A31:C31"/>
    <mergeCell ref="A32:C32"/>
    <mergeCell ref="A33:C33"/>
    <mergeCell ref="A34:C34"/>
    <mergeCell ref="A35:C35"/>
    <mergeCell ref="A36:C36"/>
    <mergeCell ref="A38:J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2026-06-24T12:11:57Z</dcterms:created>
  <dc:creator>openpyxl</dc:creator>
  <dc:description/>
  <dc:language>en-US</dc:language>
  <cp:lastModifiedBy/>
  <dcterms:modified xsi:type="dcterms:W3CDTF">2026-06-24T12:11:57Z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